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<sst xmlns="http://schemas.openxmlformats.org/spreadsheetml/2006/main" count="72" uniqueCount="21">
  <si>
    <t>category</t>
  </si>
  <si>
    <t>month</t>
  </si>
  <si>
    <t>order_count</t>
  </si>
  <si>
    <t>total_revenue</t>
  </si>
  <si>
    <t>avg_revenue</t>
  </si>
  <si>
    <t>Bakery</t>
  </si>
  <si>
    <t>Category</t>
  </si>
  <si>
    <t>Pivot Revenue</t>
  </si>
  <si>
    <t>Target Revenue</t>
  </si>
  <si>
    <t>Variance</t>
  </si>
  <si>
    <t>% Variance</t>
  </si>
  <si>
    <t>Performance Tier</t>
  </si>
  <si>
    <t>Matches Part 1 SQL total?</t>
  </si>
  <si>
    <t>Dairy &amp; Eggs</t>
  </si>
  <si>
    <t>Fruits &amp; Vegetables</t>
  </si>
  <si>
    <t>Household Essentials</t>
  </si>
  <si>
    <t>Personal Care</t>
  </si>
  <si>
    <t>Snacks &amp; Beverages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</si>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</sst>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13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13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13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13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13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13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14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14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14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14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14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14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15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15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15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15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15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15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16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16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16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16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16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16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17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17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17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17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17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17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20.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5</v>
      </c>
      <c r="B2" s="3">
        <f t="array" ref="B2">_xlfn.XLOOKUP(A2,Pivot!A2:A7,Pivot!B2:B7,"Not Found")</f>
        <v>15410</v>
      </c>
      <c r="C2" s="3">
        <f t="array" ref="C2">_xlfn.XLOOKUP(A2,'Category Targets'!A$2:A$7,'Category Targets'!B$2:B$7,"Not Found")</f>
        <v>12000</v>
      </c>
      <c r="D2" s="3">
        <f t="shared" ref="D2:D7" si="1">C2-B2</f>
        <v>-3410</v>
      </c>
      <c r="E2" s="4">
        <f t="shared" ref="E2:E7" si="2">(B2-C2)/C2</f>
        <v>0.2841666667</v>
      </c>
      <c r="F2" s="3" t="str">
        <f t="shared" ref="F2:F7" si="3">IF(B2&gt;=C2,"Above Target",IF(B2&gt;=C2*0.85,"Below Target - Watch","Below Target - Critical"))</f>
        <v>Above Target</v>
      </c>
      <c r="G2" s="3" t="str">
        <f t="array" ref="G2">IF(B2=_xlfn.XLOOKUP(A2,Pivot!A2:A7,Pivot!B2:B7),"Yes","No")</f>
        <v>Yes</v>
      </c>
    </row>
    <row r="3">
      <c r="A3" s="1" t="s">
        <v>13</v>
      </c>
      <c r="B3" s="3">
        <f t="array" ref="B3">_xlfn.XLOOKUP(A3,Pivot!A3:A8,Pivot!B3:B8,"Not Found")</f>
        <v>14090</v>
      </c>
      <c r="C3" s="3">
        <f t="array" ref="C3">_xlfn.XLOOKUP(A3,'Category Targets'!A$2:A$7,'Category Targets'!B$2:B$7,"Not Found")</f>
        <v>16500</v>
      </c>
      <c r="D3" s="3">
        <f t="shared" si="1"/>
        <v>2410</v>
      </c>
      <c r="E3" s="4">
        <f t="shared" si="2"/>
        <v>-0.1460606061</v>
      </c>
      <c r="F3" s="3" t="str">
        <f t="shared" si="3"/>
        <v>Below Target - Watch</v>
      </c>
      <c r="G3" s="3" t="str">
        <f t="array" ref="G3">IF(B3=_xlfn.XLOOKUP(A3,Pivot!A3:A8,Pivot!B3:B8),"Yes","No")</f>
        <v>Yes</v>
      </c>
    </row>
    <row r="4">
      <c r="A4" s="1" t="s">
        <v>14</v>
      </c>
      <c r="B4" s="3">
        <f t="array" ref="B4">_xlfn.XLOOKUP(A4,Pivot!A4:A9,Pivot!B4:B9,"Not Found")</f>
        <v>9790</v>
      </c>
      <c r="C4" s="3">
        <f t="array" ref="C4">_xlfn.XLOOKUP(A4,'Category Targets'!A$2:A$7,'Category Targets'!B$2:B$7,"Not Found")</f>
        <v>12000</v>
      </c>
      <c r="D4" s="3">
        <f t="shared" si="1"/>
        <v>2210</v>
      </c>
      <c r="E4" s="4">
        <f t="shared" si="2"/>
        <v>-0.1841666667</v>
      </c>
      <c r="F4" s="3" t="str">
        <f t="shared" si="3"/>
        <v>Below Target - Critical</v>
      </c>
      <c r="G4" s="3" t="str">
        <f t="array" ref="G4">IF(B4=_xlfn.XLOOKUP(A4,Pivot!A4:A9,Pivot!B4:B9),"Yes","No")</f>
        <v>Yes</v>
      </c>
    </row>
    <row r="5">
      <c r="A5" s="1" t="s">
        <v>15</v>
      </c>
      <c r="B5" s="3">
        <f t="array" ref="B5">_xlfn.XLOOKUP(A5,Pivot!A5:A10,Pivot!B5:B10,"Not Found")</f>
        <v>21715</v>
      </c>
      <c r="C5" s="3">
        <f t="array" ref="C5">_xlfn.XLOOKUP(A5,'Category Targets'!A$2:A$7,'Category Targets'!B$2:B$7,"Not Found")</f>
        <v>17000</v>
      </c>
      <c r="D5" s="3">
        <f t="shared" si="1"/>
        <v>-4715</v>
      </c>
      <c r="E5" s="4">
        <f t="shared" si="2"/>
        <v>0.2773529412</v>
      </c>
      <c r="F5" s="3" t="str">
        <f t="shared" si="3"/>
        <v>Above Target</v>
      </c>
      <c r="G5" s="3" t="str">
        <f t="array" ref="G5">IF(B5=_xlfn.XLOOKUP(A5,Pivot!A5:A10,Pivot!B5:B10),"Yes","No")</f>
        <v>Yes</v>
      </c>
    </row>
    <row r="6">
      <c r="A6" s="1" t="s">
        <v>16</v>
      </c>
      <c r="B6" s="3">
        <f t="array" ref="B6">_xlfn.XLOOKUP(A6,Pivot!A6:A11,Pivot!B6:B11,"Not Found")</f>
        <v>16382</v>
      </c>
      <c r="C6" s="3">
        <f t="array" ref="C6">_xlfn.XLOOKUP(A6,'Category Targets'!A$2:A$7,'Category Targets'!B$2:B$7,"Not Found")</f>
        <v>15500</v>
      </c>
      <c r="D6" s="3">
        <f t="shared" si="1"/>
        <v>-882</v>
      </c>
      <c r="E6" s="4">
        <f t="shared" si="2"/>
        <v>0.05690322581</v>
      </c>
      <c r="F6" s="3" t="str">
        <f t="shared" si="3"/>
        <v>Above Target</v>
      </c>
      <c r="G6" s="3" t="str">
        <f t="array" ref="G6">IF(B6=_xlfn.XLOOKUP(A6,Pivot!A6:A11,Pivot!B6:B11),"Yes","No")</f>
        <v>Yes</v>
      </c>
    </row>
    <row r="7">
      <c r="A7" s="1" t="s">
        <v>17</v>
      </c>
      <c r="B7" s="3">
        <f t="array" ref="B7">_xlfn.XLOOKUP(A7,Pivot!A7:A12,Pivot!B7:B12,"Not Found")</f>
        <v>10895</v>
      </c>
      <c r="C7" s="3">
        <f t="array" ref="C7">_xlfn.XLOOKUP(A7,'Category Targets'!A$2:A$7,'Category Targets'!B$2:B$7,"Not Found")</f>
        <v>13000</v>
      </c>
      <c r="D7" s="3">
        <f t="shared" si="1"/>
        <v>2105</v>
      </c>
      <c r="E7" s="4">
        <f t="shared" si="2"/>
        <v>-0.1619230769</v>
      </c>
      <c r="F7" s="3" t="str">
        <f t="shared" si="3"/>
        <v>Below Target - Critical</v>
      </c>
      <c r="G7" s="3" t="str">
        <f t="array" ref="G7">IF(B7=_xlfn.XLOOKUP(A7,Pivot!A7:A12,Pivot!B7:B12),"Yes","No")</f>
        <v>Yes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8</v>
      </c>
    </row>
    <row r="2">
      <c r="A2" s="1" t="s">
        <v>14</v>
      </c>
      <c r="B2" s="1">
        <v>12000.0</v>
      </c>
    </row>
    <row r="3">
      <c r="A3" s="1" t="s">
        <v>13</v>
      </c>
      <c r="B3" s="1">
        <v>16500.0</v>
      </c>
    </row>
    <row r="4">
      <c r="A4" s="1" t="s">
        <v>17</v>
      </c>
      <c r="B4" s="1">
        <v>13000.0</v>
      </c>
    </row>
    <row r="5">
      <c r="A5" s="1" t="s">
        <v>16</v>
      </c>
      <c r="B5" s="1">
        <v>15500.0</v>
      </c>
    </row>
    <row r="6">
      <c r="A6" s="1" t="s">
        <v>15</v>
      </c>
      <c r="B6" s="1">
        <v>17000.0</v>
      </c>
    </row>
    <row r="7">
      <c r="A7" s="1" t="s">
        <v>5</v>
      </c>
      <c r="B7" s="1">
        <v>12000.0</v>
      </c>
    </row>
  </sheetData>
  <drawing r:id="rId1"/>
</worksheet>
</file>